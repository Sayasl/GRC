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isk Checklist" sheetId="2" state="visible" r:id="rId4"/>
    <sheet name="Control Verification" sheetId="3" state="visible" r:id="rId5"/>
    <sheet name="Review Sign-Of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<sst xmlns="http://schemas.openxmlformats.org/spreadsheetml/2006/main" count="243" uniqueCount="159">
  <si>
    <t xml:space="preserve">ISO 27001 Risk Registry – Compliance Checklist Dashboard</t>
  </si>
  <si>
    <t xml:space="preserve">Information Security Risk Management · ISO/IEC 27001:2022</t>
  </si>
  <si>
    <t xml:space="preserve">Total Risks</t>
  </si>
  <si>
    <t xml:space="preserve">Open Risks</t>
  </si>
  <si>
    <t xml:space="preserve">In Progress</t>
  </si>
  <si>
    <t xml:space="preserve">Closed</t>
  </si>
  <si>
    <t xml:space="preserve">High Risks (≥15)</t>
  </si>
  <si>
    <t xml:space="preserve">Avg Risk Score</t>
  </si>
  <si>
    <t xml:space="preserve">Risk Heat Map – Score Distribution</t>
  </si>
  <si>
    <t xml:space="preserve">Risk ID</t>
  </si>
  <si>
    <t xml:space="preserve">Asset / Process</t>
  </si>
  <si>
    <t xml:space="preserve">Risk Description</t>
  </si>
  <si>
    <t xml:space="preserve">Likelihood</t>
  </si>
  <si>
    <t xml:space="preserve">Impact</t>
  </si>
  <si>
    <t xml:space="preserve">Risk Score</t>
  </si>
  <si>
    <t xml:space="preserve">Rating</t>
  </si>
  <si>
    <t xml:space="preserve">R-001</t>
  </si>
  <si>
    <t xml:space="preserve">Customer Data</t>
  </si>
  <si>
    <t xml:space="preserve">Unauthorized access to customer data</t>
  </si>
  <si>
    <t xml:space="preserve">HIGH</t>
  </si>
  <si>
    <t xml:space="preserve">R-002</t>
  </si>
  <si>
    <t xml:space="preserve">Email System</t>
  </si>
  <si>
    <t xml:space="preserve">Phishing attack</t>
  </si>
  <si>
    <t xml:space="preserve">R-003</t>
  </si>
  <si>
    <t xml:space="preserve">Server Infrastructure</t>
  </si>
  <si>
    <t xml:space="preserve">Service outage</t>
  </si>
  <si>
    <t xml:space="preserve">R-004</t>
  </si>
  <si>
    <t xml:space="preserve">Endpoints</t>
  </si>
  <si>
    <t xml:space="preserve">Malware infection</t>
  </si>
  <si>
    <t xml:space="preserve">MEDIUM</t>
  </si>
  <si>
    <t xml:space="preserve">R-005</t>
  </si>
  <si>
    <t xml:space="preserve">HR Records</t>
  </si>
  <si>
    <t xml:space="preserve">Data leakage</t>
  </si>
  <si>
    <t xml:space="preserve">ISO 27001 Risk Registry – Complete Risk Checklist</t>
  </si>
  <si>
    <t xml:space="preserve">All checklist items must be reviewed and actioned per ISO/IEC 27001:2022 requirements</t>
  </si>
  <si>
    <t xml:space="preserve">Threat</t>
  </si>
  <si>
    <t xml:space="preserve">Vulnerability</t>
  </si>
  <si>
    <t xml:space="preserve">Likelihood
(1–5)</t>
  </si>
  <si>
    <t xml:space="preserve">Impact
(1–5)</t>
  </si>
  <si>
    <t xml:space="preserve">Risk
Score</t>
  </si>
  <si>
    <t xml:space="preserve">Risk Owner</t>
  </si>
  <si>
    <t xml:space="preserve">Existing Controls</t>
  </si>
  <si>
    <t xml:space="preserve">Treatment
Option</t>
  </si>
  <si>
    <t xml:space="preserve">Action Plan</t>
  </si>
  <si>
    <t xml:space="preserve">Target Date</t>
  </si>
  <si>
    <t xml:space="preserve">Status</t>
  </si>
  <si>
    <t xml:space="preserve">ISO 27001
Control Ref</t>
  </si>
  <si>
    <t xml:space="preserve">Checklist
Verified?</t>
  </si>
  <si>
    <t xml:space="preserve">Verified By</t>
  </si>
  <si>
    <t xml:space="preserve">Verification Date</t>
  </si>
  <si>
    <t xml:space="preserve">External attacker</t>
  </si>
  <si>
    <t xml:space="preserve">Weak passwords</t>
  </si>
  <si>
    <t xml:space="preserve">IT Manager</t>
  </si>
  <si>
    <t xml:space="preserve">MFA enabled</t>
  </si>
  <si>
    <t xml:space="preserve">Mitigate</t>
  </si>
  <si>
    <t xml:space="preserve">Implement password policy</t>
  </si>
  <si>
    <t xml:space="preserve">2026-06-30</t>
  </si>
  <si>
    <t xml:space="preserve">Open</t>
  </si>
  <si>
    <t xml:space="preserve">A.5, A.8</t>
  </si>
  <si>
    <t xml:space="preserve">Pending</t>
  </si>
  <si>
    <t xml:space="preserve">Not Yet</t>
  </si>
  <si>
    <t xml:space="preserve">_</t>
  </si>
  <si>
    <t xml:space="preserve">Phishing</t>
  </si>
  <si>
    <t xml:space="preserve">Lack of awareness</t>
  </si>
  <si>
    <t xml:space="preserve">Security Officer</t>
  </si>
  <si>
    <t xml:space="preserve">Email filtering</t>
  </si>
  <si>
    <t xml:space="preserve">User awareness training</t>
  </si>
  <si>
    <t xml:space="preserve">2026-03-31</t>
  </si>
  <si>
    <t xml:space="preserve">A.6</t>
  </si>
  <si>
    <t xml:space="preserve">Hardware failure</t>
  </si>
  <si>
    <t xml:space="preserve">Single point of failure</t>
  </si>
  <si>
    <t xml:space="preserve">Backups</t>
  </si>
  <si>
    <t xml:space="preserve">Add redundancy</t>
  </si>
  <si>
    <t xml:space="preserve">2026-09-30</t>
  </si>
  <si>
    <t xml:space="preserve">A.8</t>
  </si>
  <si>
    <t xml:space="preserve">Malware</t>
  </si>
  <si>
    <t xml:space="preserve">Missing patches</t>
  </si>
  <si>
    <t xml:space="preserve">Desktop Admin</t>
  </si>
  <si>
    <t xml:space="preserve">EDR</t>
  </si>
  <si>
    <t xml:space="preserve">Improve patching</t>
  </si>
  <si>
    <t xml:space="preserve">2026-04-30</t>
  </si>
  <si>
    <t xml:space="preserve">Insider threat</t>
  </si>
  <si>
    <t xml:space="preserve">Excessive permissions</t>
  </si>
  <si>
    <t xml:space="preserve">HR Manager</t>
  </si>
  <si>
    <t xml:space="preserve">Access reviews</t>
  </si>
  <si>
    <t xml:space="preserve">Least privilege review</t>
  </si>
  <si>
    <t xml:space="preserve">2026-05-31</t>
  </si>
  <si>
    <t xml:space="preserve">A.5</t>
  </si>
  <si>
    <t xml:space="preserve">ISO 27001 Control Verification Checklist</t>
  </si>
  <si>
    <t xml:space="preserve">Verify implementation status for each ISO 27001 control linked to registered risks</t>
  </si>
  <si>
    <t xml:space="preserve">Control Ref</t>
  </si>
  <si>
    <t xml:space="preserve">Control Name</t>
  </si>
  <si>
    <t xml:space="preserve">Control Objective</t>
  </si>
  <si>
    <t xml:space="preserve">Current Implementation</t>
  </si>
  <si>
    <t xml:space="preserve">Gap Identified?</t>
  </si>
  <si>
    <t xml:space="preserve">Gap Description</t>
  </si>
  <si>
    <t xml:space="preserve">Remediation Action</t>
  </si>
  <si>
    <t xml:space="preserve">Priority</t>
  </si>
  <si>
    <t xml:space="preserve">Assigned To</t>
  </si>
  <si>
    <t xml:space="preserve">Completion Status</t>
  </si>
  <si>
    <t xml:space="preserve">Policies for information security</t>
  </si>
  <si>
    <t xml:space="preserve">Establish and maintain information security policies</t>
  </si>
  <si>
    <t xml:space="preserve">MFA enabled; password policy under review</t>
  </si>
  <si>
    <t xml:space="preserve">Yes</t>
  </si>
  <si>
    <t xml:space="preserve">No formal password policy documented</t>
  </si>
  <si>
    <t xml:space="preserve">Implement &amp; publish password policy document</t>
  </si>
  <si>
    <t xml:space="preserve">High</t>
  </si>
  <si>
    <t xml:space="preserve">Asset management</t>
  </si>
  <si>
    <t xml:space="preserve">Protect information assets</t>
  </si>
  <si>
    <t xml:space="preserve">Asset inventory maintained</t>
  </si>
  <si>
    <t xml:space="preserve">No</t>
  </si>
  <si>
    <t xml:space="preserve">—</t>
  </si>
  <si>
    <t xml:space="preserve">Continue current controls</t>
  </si>
  <si>
    <t xml:space="preserve">Low</t>
  </si>
  <si>
    <t xml:space="preserve">Organised information security</t>
  </si>
  <si>
    <t xml:space="preserve">User awareness programme</t>
  </si>
  <si>
    <t xml:space="preserve">Email filtering active; no formal training</t>
  </si>
  <si>
    <t xml:space="preserve">No periodic security awareness training</t>
  </si>
  <si>
    <t xml:space="preserve">Schedule &amp; run phishing simulation + training</t>
  </si>
  <si>
    <t xml:space="preserve">Redundancy &amp; availability</t>
  </si>
  <si>
    <t xml:space="preserve">Ensure service continuity</t>
  </si>
  <si>
    <t xml:space="preserve">Backups in place; no redundancy</t>
  </si>
  <si>
    <t xml:space="preserve">Single point of failure on core servers</t>
  </si>
  <si>
    <t xml:space="preserve">Deploy redundant server / failover cluster</t>
  </si>
  <si>
    <t xml:space="preserve">Endpoint protection</t>
  </si>
  <si>
    <t xml:space="preserve">Prevent malware infection</t>
  </si>
  <si>
    <t xml:space="preserve">EDR deployed; patching irregular</t>
  </si>
  <si>
    <t xml:space="preserve">Missing patches on 30% of endpoints</t>
  </si>
  <si>
    <t xml:space="preserve">Automate patch management process</t>
  </si>
  <si>
    <t xml:space="preserve">Medium</t>
  </si>
  <si>
    <t xml:space="preserve">Access control &amp; least privilege</t>
  </si>
  <si>
    <t xml:space="preserve">Limit access to information</t>
  </si>
  <si>
    <t xml:space="preserve">Access reviews performed; excessive rights found</t>
  </si>
  <si>
    <t xml:space="preserve">Users retain permissions beyond role</t>
  </si>
  <si>
    <t xml:space="preserve">Conduct least-privilege review and remediate</t>
  </si>
  <si>
    <t xml:space="preserve">Risk Register Review &amp; Sign-Off Log</t>
  </si>
  <si>
    <t xml:space="preserve">Record each periodic review, reviewer sign-off, and management approval</t>
  </si>
  <si>
    <t xml:space="preserve">Review #</t>
  </si>
  <si>
    <t xml:space="preserve">Review Date</t>
  </si>
  <si>
    <t xml:space="preserve">Review Period</t>
  </si>
  <si>
    <t xml:space="preserve">Reviewer Name</t>
  </si>
  <si>
    <t xml:space="preserve">Reviewer Role</t>
  </si>
  <si>
    <t xml:space="preserve">Risks Reviewed</t>
  </si>
  <si>
    <t xml:space="preserve">New Risks Added</t>
  </si>
  <si>
    <t xml:space="preserve">Risks Closed</t>
  </si>
  <si>
    <t xml:space="preserve">Summary of Changes</t>
  </si>
  <si>
    <t xml:space="preserve">Sign-Off Status</t>
  </si>
  <si>
    <t xml:space="preserve">REV-001</t>
  </si>
  <si>
    <t xml:space="preserve">2026-01-15</t>
  </si>
  <si>
    <t xml:space="preserve">Q4 2025</t>
  </si>
  <si>
    <t xml:space="preserve">Sayed</t>
  </si>
  <si>
    <t xml:space="preserve">CISO</t>
  </si>
  <si>
    <t xml:space="preserve">Initial register established; 5 risks identified</t>
  </si>
  <si>
    <t xml:space="preserve">Signed</t>
  </si>
  <si>
    <t xml:space="preserve">REV-002</t>
  </si>
  <si>
    <t xml:space="preserve">2026-04-01</t>
  </si>
  <si>
    <t xml:space="preserve">Q1 2026</t>
  </si>
  <si>
    <t xml:space="preserve">Aslam</t>
  </si>
  <si>
    <t xml:space="preserve">R-004 treatment 60% complete; no new risks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</si>
</sst>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6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F0000"/>
        <bgColor rgb="FFC00000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C00000"/>
        <bgColor rgb="FFFF0000"/>
      </patternFill>
    </fill>
    <fill>
      <patternFill patternType="solid">
        <fgColor rgb="FFFFC000"/>
        <bgColor rgb="FFFF9900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18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23" activeCellId="0" sqref="E2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18" min="8" style="1" width="6"/>
  </cols>
  <sheetData>
    <row r="1" customFormat="false" ht="13.5" hidden="false" customHeight="true" outlineLevel="0" collapsed="false"/>
    <row r="2" customFormat="false" ht="39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customFormat="false" ht="18" hidden="false" customHeight="true" outlineLevel="0" collapsed="false">
      <c r="A5" s="4" t="s">
        <v>2</v>
      </c>
      <c r="B5" s="4"/>
      <c r="C5" s="4"/>
      <c r="D5" s="5" t="s">
        <v>3</v>
      </c>
      <c r="E5" s="5"/>
      <c r="F5" s="5"/>
      <c r="G5" s="6" t="s">
        <v>4</v>
      </c>
      <c r="H5" s="6"/>
      <c r="I5" s="6"/>
      <c r="J5" s="7" t="s">
        <v>5</v>
      </c>
      <c r="K5" s="7"/>
      <c r="L5" s="7"/>
      <c r="M5" s="8" t="s">
        <v>6</v>
      </c>
      <c r="N5" s="8"/>
      <c r="O5" s="8"/>
      <c r="P5" s="9" t="s">
        <v>7</v>
      </c>
      <c r="Q5" s="9"/>
      <c r="R5" s="9"/>
    </row>
    <row r="6" customFormat="false" ht="18" hidden="false" customHeight="true" outlineLevel="0" collapsed="false">
      <c r="A6" s="4"/>
      <c r="B6" s="4"/>
      <c r="C6" s="4"/>
      <c r="D6" s="5"/>
      <c r="E6" s="5"/>
      <c r="F6" s="5"/>
      <c r="G6" s="6"/>
      <c r="H6" s="6"/>
      <c r="I6" s="6"/>
      <c r="J6" s="7"/>
      <c r="K6" s="7"/>
      <c r="L6" s="7"/>
      <c r="M6" s="8"/>
      <c r="N6" s="8"/>
      <c r="O6" s="8"/>
      <c r="P6" s="9"/>
      <c r="Q6" s="9"/>
      <c r="R6" s="9"/>
    </row>
    <row r="7" customFormat="false" ht="18" hidden="false" customHeight="true" outlineLevel="0" collapsed="false">
      <c r="A7" s="10" t="n">
        <f aca="false">COUNTA('Risk Checklist'!A4:A1000)-COUNTIF('Risk Checklist'!A4:A1000,"")</f>
        <v>-987</v>
      </c>
      <c r="B7" s="10"/>
      <c r="C7" s="10"/>
      <c r="D7" s="11" t="n">
        <f aca="false">COUNTIF('Risk Checklist'!N4:N1000,"Open")</f>
        <v>5</v>
      </c>
      <c r="E7" s="11"/>
      <c r="F7" s="11"/>
      <c r="G7" s="12" t="n">
        <f aca="false">COUNTIF('Risk Checklist'!N4:N1000,"In Progress")</f>
        <v>0</v>
      </c>
      <c r="H7" s="12"/>
      <c r="I7" s="12"/>
      <c r="J7" s="13" t="n">
        <f aca="false">COUNTIF('Risk Checklist'!N4:N1000,"Closed")</f>
        <v>0</v>
      </c>
      <c r="K7" s="13"/>
      <c r="L7" s="13"/>
      <c r="M7" s="14" t="n">
        <f aca="false">COUNTIF('Risk Checklist'!H4:H1000,"&gt;="&amp;15)</f>
        <v>3</v>
      </c>
      <c r="N7" s="14"/>
      <c r="O7" s="14"/>
      <c r="P7" s="15" t="n">
        <f aca="false">IFERROR(AVERAGE('Risk Checklist'!H4:H1000),0)</f>
        <v>14.6</v>
      </c>
      <c r="Q7" s="15"/>
      <c r="R7" s="15"/>
    </row>
    <row r="8" customFormat="false" ht="18" hidden="false" customHeight="true" outlineLevel="0" collapsed="false">
      <c r="A8" s="10"/>
      <c r="B8" s="10"/>
      <c r="C8" s="10"/>
      <c r="D8" s="11"/>
      <c r="E8" s="11"/>
      <c r="F8" s="11"/>
      <c r="G8" s="12"/>
      <c r="H8" s="12"/>
      <c r="I8" s="12"/>
      <c r="J8" s="13"/>
      <c r="K8" s="13"/>
      <c r="L8" s="13"/>
      <c r="M8" s="14"/>
      <c r="N8" s="14"/>
      <c r="O8" s="14"/>
      <c r="P8" s="15"/>
      <c r="Q8" s="15"/>
      <c r="R8" s="15"/>
    </row>
    <row r="9" customFormat="false" ht="18" hidden="false" customHeight="true" outlineLevel="0" collapsed="false">
      <c r="A9" s="10"/>
      <c r="B9" s="10"/>
      <c r="C9" s="10"/>
      <c r="D9" s="11"/>
      <c r="E9" s="11"/>
      <c r="F9" s="11"/>
      <c r="G9" s="12"/>
      <c r="H9" s="12"/>
      <c r="I9" s="12"/>
      <c r="J9" s="13"/>
      <c r="K9" s="13"/>
      <c r="L9" s="13"/>
      <c r="M9" s="14"/>
      <c r="N9" s="14"/>
      <c r="O9" s="14"/>
      <c r="P9" s="15"/>
      <c r="Q9" s="15"/>
      <c r="R9" s="15"/>
    </row>
    <row r="10" customFormat="false" ht="18" hidden="false" customHeight="true" outlineLevel="0" collapsed="false">
      <c r="A10" s="10"/>
      <c r="B10" s="10"/>
      <c r="C10" s="10"/>
      <c r="D10" s="11"/>
      <c r="E10" s="11"/>
      <c r="F10" s="11"/>
      <c r="G10" s="12"/>
      <c r="H10" s="12"/>
      <c r="I10" s="12"/>
      <c r="J10" s="13"/>
      <c r="K10" s="13"/>
      <c r="L10" s="13"/>
      <c r="M10" s="14"/>
      <c r="N10" s="14"/>
      <c r="O10" s="14"/>
      <c r="P10" s="15"/>
      <c r="Q10" s="15"/>
      <c r="R10" s="15"/>
    </row>
    <row r="12" customFormat="false" ht="21.75" hidden="false" customHeight="true" outlineLevel="0" collapsed="false">
      <c r="A12" s="16" t="s">
        <v>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customFormat="false" ht="30" hidden="false" customHeight="true" outlineLevel="0" collapsed="false">
      <c r="A13" s="17" t="s">
        <v>9</v>
      </c>
      <c r="B13" s="17" t="s">
        <v>10</v>
      </c>
      <c r="C13" s="17" t="s">
        <v>11</v>
      </c>
      <c r="D13" s="17" t="s">
        <v>12</v>
      </c>
      <c r="E13" s="17" t="s">
        <v>13</v>
      </c>
      <c r="F13" s="17" t="s">
        <v>14</v>
      </c>
      <c r="G13" s="17" t="s">
        <v>15</v>
      </c>
    </row>
    <row r="14" customFormat="false" ht="21.75" hidden="false" customHeight="true" outlineLevel="0" collapsed="false">
      <c r="A14" s="18" t="s">
        <v>16</v>
      </c>
      <c r="B14" s="19" t="s">
        <v>17</v>
      </c>
      <c r="C14" s="19" t="s">
        <v>18</v>
      </c>
      <c r="D14" s="19" t="n">
        <v>4</v>
      </c>
      <c r="E14" s="19" t="n">
        <v>5</v>
      </c>
      <c r="F14" s="20" t="n">
        <v>20</v>
      </c>
      <c r="G14" s="20" t="s">
        <v>19</v>
      </c>
    </row>
    <row r="15" customFormat="false" ht="21.75" hidden="false" customHeight="true" outlineLevel="0" collapsed="false">
      <c r="A15" s="21" t="s">
        <v>20</v>
      </c>
      <c r="B15" s="22" t="s">
        <v>21</v>
      </c>
      <c r="C15" s="22" t="s">
        <v>22</v>
      </c>
      <c r="D15" s="22" t="n">
        <v>4</v>
      </c>
      <c r="E15" s="22" t="n">
        <v>4</v>
      </c>
      <c r="F15" s="20" t="n">
        <v>16</v>
      </c>
      <c r="G15" s="20" t="s">
        <v>19</v>
      </c>
    </row>
    <row r="16" customFormat="false" ht="21.75" hidden="false" customHeight="true" outlineLevel="0" collapsed="false">
      <c r="A16" s="18" t="s">
        <v>23</v>
      </c>
      <c r="B16" s="19" t="s">
        <v>24</v>
      </c>
      <c r="C16" s="19" t="s">
        <v>25</v>
      </c>
      <c r="D16" s="19" t="n">
        <v>3</v>
      </c>
      <c r="E16" s="19" t="n">
        <v>5</v>
      </c>
      <c r="F16" s="20" t="n">
        <v>15</v>
      </c>
      <c r="G16" s="20" t="s">
        <v>19</v>
      </c>
    </row>
    <row r="17" customFormat="false" ht="21.75" hidden="false" customHeight="true" outlineLevel="0" collapsed="false">
      <c r="A17" s="21" t="s">
        <v>26</v>
      </c>
      <c r="B17" s="22" t="s">
        <v>27</v>
      </c>
      <c r="C17" s="22" t="s">
        <v>28</v>
      </c>
      <c r="D17" s="22" t="n">
        <v>3</v>
      </c>
      <c r="E17" s="22" t="n">
        <v>4</v>
      </c>
      <c r="F17" s="23" t="n">
        <v>12</v>
      </c>
      <c r="G17" s="23" t="s">
        <v>29</v>
      </c>
    </row>
    <row r="18" customFormat="false" ht="21.75" hidden="false" customHeight="true" outlineLevel="0" collapsed="false">
      <c r="A18" s="18" t="s">
        <v>30</v>
      </c>
      <c r="B18" s="19" t="s">
        <v>31</v>
      </c>
      <c r="C18" s="19" t="s">
        <v>32</v>
      </c>
      <c r="D18" s="19" t="n">
        <v>2</v>
      </c>
      <c r="E18" s="19" t="n">
        <v>5</v>
      </c>
      <c r="F18" s="23" t="n">
        <v>10</v>
      </c>
      <c r="G18" s="23" t="s">
        <v>29</v>
      </c>
    </row>
  </sheetData>
  <mergeCells count="15">
    <mergeCell ref="A2:R2"/>
    <mergeCell ref="A3:R3"/>
    <mergeCell ref="A5:C6"/>
    <mergeCell ref="D5:F6"/>
    <mergeCell ref="G5:I6"/>
    <mergeCell ref="J5:L6"/>
    <mergeCell ref="M5:O6"/>
    <mergeCell ref="P5:R6"/>
    <mergeCell ref="A7:C10"/>
    <mergeCell ref="D7:F10"/>
    <mergeCell ref="G7:I10"/>
    <mergeCell ref="J7:L10"/>
    <mergeCell ref="M7:O10"/>
    <mergeCell ref="P7:R10"/>
    <mergeCell ref="A12:R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R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C18" activeCellId="0" sqref="C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16"/>
    <col collapsed="false" customWidth="true" hidden="false" outlineLevel="0" max="10" min="10" style="1" width="24"/>
    <col collapsed="false" customWidth="true" hidden="false" outlineLevel="0" max="11" min="11" style="1" width="14"/>
    <col collapsed="false" customWidth="true" hidden="false" outlineLevel="0" max="12" min="12" style="1" width="30"/>
    <col collapsed="false" customWidth="true" hidden="false" outlineLevel="0" max="13" min="13" style="1" width="13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6" min="16" style="1" width="15"/>
    <col collapsed="false" customWidth="true" hidden="false" outlineLevel="0" max="18" min="17" style="1" width="16"/>
    <col collapsed="false" customWidth="true" hidden="false" outlineLevel="0" max="16384" min="16384" style="0" width="11.53"/>
  </cols>
  <sheetData>
    <row r="1" customFormat="false" ht="36" hidden="false" customHeight="true" outlineLevel="0" collapsed="false">
      <c r="A1" s="24" t="s">
        <v>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customFormat="false" ht="18" hidden="false" customHeight="true" outlineLevel="0" collapsed="false">
      <c r="A2" s="25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customFormat="false" ht="36" hidden="false" customHeight="true" outlineLevel="0" collapsed="false">
      <c r="A3" s="17" t="s">
        <v>9</v>
      </c>
      <c r="B3" s="17" t="s">
        <v>10</v>
      </c>
      <c r="C3" s="17" t="s">
        <v>11</v>
      </c>
      <c r="D3" s="17" t="s">
        <v>35</v>
      </c>
      <c r="E3" s="17" t="s">
        <v>36</v>
      </c>
      <c r="F3" s="17" t="s">
        <v>37</v>
      </c>
      <c r="G3" s="17" t="s">
        <v>38</v>
      </c>
      <c r="H3" s="17" t="s">
        <v>39</v>
      </c>
      <c r="I3" s="17" t="s">
        <v>40</v>
      </c>
      <c r="J3" s="17" t="s">
        <v>41</v>
      </c>
      <c r="K3" s="17" t="s">
        <v>42</v>
      </c>
      <c r="L3" s="17" t="s">
        <v>43</v>
      </c>
      <c r="M3" s="17" t="s">
        <v>44</v>
      </c>
      <c r="N3" s="17" t="s">
        <v>45</v>
      </c>
      <c r="O3" s="17" t="s">
        <v>46</v>
      </c>
      <c r="P3" s="17" t="s">
        <v>47</v>
      </c>
      <c r="Q3" s="17" t="s">
        <v>48</v>
      </c>
      <c r="R3" s="17" t="s">
        <v>49</v>
      </c>
    </row>
    <row r="4" customFormat="false" ht="27.75" hidden="false" customHeight="true" outlineLevel="0" collapsed="false">
      <c r="A4" s="19" t="s">
        <v>16</v>
      </c>
      <c r="B4" s="19" t="s">
        <v>17</v>
      </c>
      <c r="C4" s="19" t="s">
        <v>18</v>
      </c>
      <c r="D4" s="19" t="s">
        <v>50</v>
      </c>
      <c r="E4" s="19" t="s">
        <v>51</v>
      </c>
      <c r="F4" s="19" t="n">
        <v>4</v>
      </c>
      <c r="G4" s="19" t="n">
        <v>5</v>
      </c>
      <c r="H4" s="20" t="n">
        <v>20</v>
      </c>
      <c r="I4" s="19" t="s">
        <v>52</v>
      </c>
      <c r="J4" s="19" t="s">
        <v>53</v>
      </c>
      <c r="K4" s="19" t="s">
        <v>54</v>
      </c>
      <c r="L4" s="19" t="s">
        <v>55</v>
      </c>
      <c r="M4" s="19" t="s">
        <v>56</v>
      </c>
      <c r="N4" s="26" t="s">
        <v>57</v>
      </c>
      <c r="O4" s="19" t="s">
        <v>58</v>
      </c>
      <c r="P4" s="27" t="s">
        <v>59</v>
      </c>
      <c r="Q4" s="28" t="s">
        <v>60</v>
      </c>
      <c r="R4" s="29" t="s">
        <v>61</v>
      </c>
    </row>
    <row r="5" customFormat="false" ht="27.75" hidden="false" customHeight="true" outlineLevel="0" collapsed="false">
      <c r="A5" s="22" t="s">
        <v>20</v>
      </c>
      <c r="B5" s="22" t="s">
        <v>21</v>
      </c>
      <c r="C5" s="22" t="s">
        <v>22</v>
      </c>
      <c r="D5" s="22" t="s">
        <v>62</v>
      </c>
      <c r="E5" s="22" t="s">
        <v>63</v>
      </c>
      <c r="F5" s="22" t="n">
        <v>4</v>
      </c>
      <c r="G5" s="22" t="n">
        <v>4</v>
      </c>
      <c r="H5" s="20" t="n">
        <v>16</v>
      </c>
      <c r="I5" s="22" t="s">
        <v>64</v>
      </c>
      <c r="J5" s="22" t="s">
        <v>65</v>
      </c>
      <c r="K5" s="22" t="s">
        <v>54</v>
      </c>
      <c r="L5" s="22" t="s">
        <v>66</v>
      </c>
      <c r="M5" s="22" t="s">
        <v>67</v>
      </c>
      <c r="N5" s="26" t="s">
        <v>57</v>
      </c>
      <c r="O5" s="22" t="s">
        <v>68</v>
      </c>
      <c r="P5" s="30" t="s">
        <v>59</v>
      </c>
      <c r="Q5" s="28" t="s">
        <v>60</v>
      </c>
      <c r="R5" s="29" t="s">
        <v>61</v>
      </c>
    </row>
    <row r="6" customFormat="false" ht="27.75" hidden="false" customHeight="true" outlineLevel="0" collapsed="false">
      <c r="A6" s="19" t="s">
        <v>23</v>
      </c>
      <c r="B6" s="19" t="s">
        <v>24</v>
      </c>
      <c r="C6" s="19" t="s">
        <v>25</v>
      </c>
      <c r="D6" s="19" t="s">
        <v>69</v>
      </c>
      <c r="E6" s="19" t="s">
        <v>70</v>
      </c>
      <c r="F6" s="19" t="n">
        <v>3</v>
      </c>
      <c r="G6" s="19" t="n">
        <v>5</v>
      </c>
      <c r="H6" s="20" t="n">
        <v>15</v>
      </c>
      <c r="I6" s="19" t="s">
        <v>52</v>
      </c>
      <c r="J6" s="19" t="s">
        <v>71</v>
      </c>
      <c r="K6" s="19" t="s">
        <v>54</v>
      </c>
      <c r="L6" s="19" t="s">
        <v>72</v>
      </c>
      <c r="M6" s="19" t="s">
        <v>73</v>
      </c>
      <c r="N6" s="26" t="s">
        <v>57</v>
      </c>
      <c r="O6" s="19" t="s">
        <v>74</v>
      </c>
      <c r="P6" s="27" t="s">
        <v>59</v>
      </c>
      <c r="Q6" s="28" t="s">
        <v>60</v>
      </c>
      <c r="R6" s="29" t="s">
        <v>61</v>
      </c>
    </row>
    <row r="7" customFormat="false" ht="27.75" hidden="false" customHeight="true" outlineLevel="0" collapsed="false">
      <c r="A7" s="22" t="s">
        <v>26</v>
      </c>
      <c r="B7" s="22" t="s">
        <v>27</v>
      </c>
      <c r="C7" s="22" t="s">
        <v>28</v>
      </c>
      <c r="D7" s="22" t="s">
        <v>75</v>
      </c>
      <c r="E7" s="22" t="s">
        <v>76</v>
      </c>
      <c r="F7" s="22" t="n">
        <v>3</v>
      </c>
      <c r="G7" s="22" t="n">
        <v>4</v>
      </c>
      <c r="H7" s="23" t="n">
        <v>12</v>
      </c>
      <c r="I7" s="22" t="s">
        <v>77</v>
      </c>
      <c r="J7" s="22" t="s">
        <v>78</v>
      </c>
      <c r="K7" s="22" t="s">
        <v>54</v>
      </c>
      <c r="L7" s="22" t="s">
        <v>79</v>
      </c>
      <c r="M7" s="22" t="s">
        <v>80</v>
      </c>
      <c r="N7" s="26" t="s">
        <v>57</v>
      </c>
      <c r="O7" s="22" t="s">
        <v>74</v>
      </c>
      <c r="P7" s="30" t="s">
        <v>59</v>
      </c>
      <c r="Q7" s="28" t="s">
        <v>60</v>
      </c>
      <c r="R7" s="29" t="s">
        <v>61</v>
      </c>
    </row>
    <row r="8" customFormat="false" ht="27.75" hidden="false" customHeight="true" outlineLevel="0" collapsed="false">
      <c r="A8" s="19" t="s">
        <v>30</v>
      </c>
      <c r="B8" s="19" t="s">
        <v>31</v>
      </c>
      <c r="C8" s="19" t="s">
        <v>32</v>
      </c>
      <c r="D8" s="19" t="s">
        <v>81</v>
      </c>
      <c r="E8" s="19" t="s">
        <v>82</v>
      </c>
      <c r="F8" s="19" t="n">
        <v>2</v>
      </c>
      <c r="G8" s="19" t="n">
        <v>5</v>
      </c>
      <c r="H8" s="23" t="n">
        <v>10</v>
      </c>
      <c r="I8" s="19" t="s">
        <v>83</v>
      </c>
      <c r="J8" s="19" t="s">
        <v>84</v>
      </c>
      <c r="K8" s="19" t="s">
        <v>54</v>
      </c>
      <c r="L8" s="19" t="s">
        <v>85</v>
      </c>
      <c r="M8" s="19" t="s">
        <v>86</v>
      </c>
      <c r="N8" s="26" t="s">
        <v>57</v>
      </c>
      <c r="O8" s="19" t="s">
        <v>87</v>
      </c>
      <c r="P8" s="27" t="s">
        <v>59</v>
      </c>
      <c r="Q8" s="28" t="s">
        <v>60</v>
      </c>
      <c r="R8" s="29" t="s">
        <v>61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J13" activeCellId="0" sqref="J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1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18"/>
    <col collapsed="false" customWidth="true" hidden="false" outlineLevel="0" max="12" min="12" style="1" width="16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18" hidden="false" customHeight="true" outlineLevel="0" collapsed="false">
      <c r="A2" s="25" t="s">
        <v>89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customFormat="false" ht="36" hidden="false" customHeight="true" outlineLevel="0" collapsed="false">
      <c r="A3" s="17" t="s">
        <v>9</v>
      </c>
      <c r="B3" s="17" t="s">
        <v>90</v>
      </c>
      <c r="C3" s="17" t="s">
        <v>91</v>
      </c>
      <c r="D3" s="17" t="s">
        <v>92</v>
      </c>
      <c r="E3" s="17" t="s">
        <v>93</v>
      </c>
      <c r="F3" s="17" t="s">
        <v>94</v>
      </c>
      <c r="G3" s="17" t="s">
        <v>95</v>
      </c>
      <c r="H3" s="17" t="s">
        <v>96</v>
      </c>
      <c r="I3" s="17" t="s">
        <v>97</v>
      </c>
      <c r="J3" s="17" t="s">
        <v>44</v>
      </c>
      <c r="K3" s="17" t="s">
        <v>98</v>
      </c>
      <c r="L3" s="17" t="s">
        <v>99</v>
      </c>
    </row>
    <row r="4" customFormat="false" ht="30" hidden="false" customHeight="true" outlineLevel="0" collapsed="false">
      <c r="A4" s="19" t="s">
        <v>16</v>
      </c>
      <c r="B4" s="19" t="s">
        <v>87</v>
      </c>
      <c r="C4" s="19" t="s">
        <v>100</v>
      </c>
      <c r="D4" s="19" t="s">
        <v>101</v>
      </c>
      <c r="E4" s="19" t="s">
        <v>102</v>
      </c>
      <c r="F4" s="26" t="s">
        <v>103</v>
      </c>
      <c r="G4" s="19" t="s">
        <v>104</v>
      </c>
      <c r="H4" s="19" t="s">
        <v>105</v>
      </c>
      <c r="I4" s="26" t="s">
        <v>106</v>
      </c>
      <c r="J4" s="19" t="s">
        <v>56</v>
      </c>
      <c r="K4" s="19" t="s">
        <v>52</v>
      </c>
      <c r="L4" s="27" t="s">
        <v>59</v>
      </c>
    </row>
    <row r="5" customFormat="false" ht="30" hidden="false" customHeight="true" outlineLevel="0" collapsed="false">
      <c r="A5" s="22" t="s">
        <v>16</v>
      </c>
      <c r="B5" s="22" t="s">
        <v>74</v>
      </c>
      <c r="C5" s="22" t="s">
        <v>107</v>
      </c>
      <c r="D5" s="22" t="s">
        <v>108</v>
      </c>
      <c r="E5" s="22" t="s">
        <v>109</v>
      </c>
      <c r="F5" s="31" t="s">
        <v>110</v>
      </c>
      <c r="G5" s="22" t="s">
        <v>111</v>
      </c>
      <c r="H5" s="22" t="s">
        <v>112</v>
      </c>
      <c r="I5" s="31" t="s">
        <v>113</v>
      </c>
      <c r="J5" s="22" t="s">
        <v>56</v>
      </c>
      <c r="K5" s="32" t="s">
        <v>52</v>
      </c>
      <c r="L5" s="33" t="s">
        <v>59</v>
      </c>
    </row>
    <row r="6" customFormat="false" ht="30" hidden="false" customHeight="true" outlineLevel="0" collapsed="false">
      <c r="A6" s="19" t="s">
        <v>20</v>
      </c>
      <c r="B6" s="19" t="s">
        <v>68</v>
      </c>
      <c r="C6" s="19" t="s">
        <v>114</v>
      </c>
      <c r="D6" s="19" t="s">
        <v>115</v>
      </c>
      <c r="E6" s="19" t="s">
        <v>116</v>
      </c>
      <c r="F6" s="26" t="s">
        <v>103</v>
      </c>
      <c r="G6" s="19" t="s">
        <v>117</v>
      </c>
      <c r="H6" s="19" t="s">
        <v>118</v>
      </c>
      <c r="I6" s="26" t="s">
        <v>106</v>
      </c>
      <c r="J6" s="19" t="s">
        <v>67</v>
      </c>
      <c r="K6" s="19" t="s">
        <v>64</v>
      </c>
      <c r="L6" s="27" t="s">
        <v>59</v>
      </c>
    </row>
    <row r="7" customFormat="false" ht="30" hidden="false" customHeight="true" outlineLevel="0" collapsed="false">
      <c r="A7" s="22" t="s">
        <v>23</v>
      </c>
      <c r="B7" s="22" t="s">
        <v>74</v>
      </c>
      <c r="C7" s="22" t="s">
        <v>119</v>
      </c>
      <c r="D7" s="22" t="s">
        <v>120</v>
      </c>
      <c r="E7" s="22" t="s">
        <v>121</v>
      </c>
      <c r="F7" s="26" t="s">
        <v>103</v>
      </c>
      <c r="G7" s="22" t="s">
        <v>122</v>
      </c>
      <c r="H7" s="22" t="s">
        <v>123</v>
      </c>
      <c r="I7" s="26" t="s">
        <v>106</v>
      </c>
      <c r="J7" s="22" t="s">
        <v>73</v>
      </c>
      <c r="K7" s="22" t="s">
        <v>52</v>
      </c>
      <c r="L7" s="33" t="s">
        <v>59</v>
      </c>
    </row>
    <row r="8" customFormat="false" ht="30" hidden="false" customHeight="true" outlineLevel="0" collapsed="false">
      <c r="A8" s="19" t="s">
        <v>26</v>
      </c>
      <c r="B8" s="19" t="s">
        <v>74</v>
      </c>
      <c r="C8" s="19" t="s">
        <v>124</v>
      </c>
      <c r="D8" s="19" t="s">
        <v>125</v>
      </c>
      <c r="E8" s="19" t="s">
        <v>126</v>
      </c>
      <c r="F8" s="26" t="s">
        <v>103</v>
      </c>
      <c r="G8" s="19" t="s">
        <v>127</v>
      </c>
      <c r="H8" s="19" t="s">
        <v>128</v>
      </c>
      <c r="I8" s="34" t="s">
        <v>129</v>
      </c>
      <c r="J8" s="19" t="s">
        <v>80</v>
      </c>
      <c r="K8" s="19" t="s">
        <v>77</v>
      </c>
      <c r="L8" s="27" t="s">
        <v>59</v>
      </c>
    </row>
    <row r="9" customFormat="false" ht="30" hidden="false" customHeight="true" outlineLevel="0" collapsed="false">
      <c r="A9" s="22" t="s">
        <v>30</v>
      </c>
      <c r="B9" s="22" t="s">
        <v>87</v>
      </c>
      <c r="C9" s="22" t="s">
        <v>130</v>
      </c>
      <c r="D9" s="22" t="s">
        <v>131</v>
      </c>
      <c r="E9" s="22" t="s">
        <v>132</v>
      </c>
      <c r="F9" s="26" t="s">
        <v>103</v>
      </c>
      <c r="G9" s="22" t="s">
        <v>133</v>
      </c>
      <c r="H9" s="22" t="s">
        <v>134</v>
      </c>
      <c r="I9" s="26" t="s">
        <v>106</v>
      </c>
      <c r="J9" s="22" t="s">
        <v>86</v>
      </c>
      <c r="K9" s="22" t="s">
        <v>83</v>
      </c>
      <c r="L9" s="33" t="s">
        <v>59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1048576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5" activeCellId="0" sqref="H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40"/>
    <col collapsed="false" customWidth="true" hidden="false" outlineLevel="0" max="10" min="10" style="1" width="15"/>
  </cols>
  <sheetData>
    <row r="1" customFormat="false" ht="36" hidden="false" customHeight="true" outlineLevel="0" collapsed="false">
      <c r="A1" s="24" t="s">
        <v>135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8" hidden="false" customHeight="true" outlineLevel="0" collapsed="false">
      <c r="A2" s="25" t="s">
        <v>136</v>
      </c>
      <c r="B2" s="25"/>
      <c r="C2" s="25"/>
      <c r="D2" s="25"/>
      <c r="E2" s="25"/>
      <c r="F2" s="25"/>
      <c r="G2" s="25"/>
      <c r="H2" s="25"/>
      <c r="I2" s="25"/>
      <c r="J2" s="25"/>
    </row>
    <row r="3" customFormat="false" ht="30" hidden="false" customHeight="true" outlineLevel="0" collapsed="false">
      <c r="A3" s="17" t="s">
        <v>137</v>
      </c>
      <c r="B3" s="17" t="s">
        <v>138</v>
      </c>
      <c r="C3" s="17" t="s">
        <v>139</v>
      </c>
      <c r="D3" s="17" t="s">
        <v>140</v>
      </c>
      <c r="E3" s="17" t="s">
        <v>141</v>
      </c>
      <c r="F3" s="17" t="s">
        <v>142</v>
      </c>
      <c r="G3" s="17" t="s">
        <v>143</v>
      </c>
      <c r="H3" s="17" t="s">
        <v>144</v>
      </c>
      <c r="I3" s="17" t="s">
        <v>145</v>
      </c>
      <c r="J3" s="17" t="s">
        <v>146</v>
      </c>
    </row>
    <row r="4" customFormat="false" ht="25.5" hidden="false" customHeight="true" outlineLevel="0" collapsed="false">
      <c r="A4" s="19" t="s">
        <v>147</v>
      </c>
      <c r="B4" s="19" t="s">
        <v>148</v>
      </c>
      <c r="C4" s="19" t="s">
        <v>149</v>
      </c>
      <c r="D4" s="19" t="s">
        <v>150</v>
      </c>
      <c r="E4" s="19" t="s">
        <v>151</v>
      </c>
      <c r="F4" s="19" t="n">
        <v>5</v>
      </c>
      <c r="G4" s="19" t="n">
        <v>0</v>
      </c>
      <c r="H4" s="19" t="n">
        <v>0</v>
      </c>
      <c r="I4" s="19" t="s">
        <v>152</v>
      </c>
      <c r="J4" s="31" t="s">
        <v>153</v>
      </c>
    </row>
    <row r="5" customFormat="false" ht="25.5" hidden="false" customHeight="true" outlineLevel="0" collapsed="false">
      <c r="A5" s="22" t="s">
        <v>154</v>
      </c>
      <c r="B5" s="22" t="s">
        <v>155</v>
      </c>
      <c r="C5" s="22" t="s">
        <v>156</v>
      </c>
      <c r="D5" s="22" t="s">
        <v>157</v>
      </c>
      <c r="E5" s="22" t="s">
        <v>151</v>
      </c>
      <c r="F5" s="22" t="n">
        <v>5</v>
      </c>
      <c r="G5" s="22" t="n">
        <v>0</v>
      </c>
      <c r="H5" s="22" t="n">
        <v>0</v>
      </c>
      <c r="I5" s="22" t="s">
        <v>158</v>
      </c>
      <c r="J5" s="34" t="s">
        <v>59</v>
      </c>
    </row>
    <row r="1048576" customFormat="false" ht="12.8" hidden="false" customHeight="true" outlineLevel="0" collapsed="false"/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2026-05-31T20:36:00Z</dcterms:created>
  <dc:creator>openpyxl</dc:creator>
  <dc:description/>
  <dc:language>en-US</dc:language>
  <cp:lastModifiedBy/>
  <dcterms:modified xsi:type="dcterms:W3CDTF">2026-06-03T13:35:40Z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